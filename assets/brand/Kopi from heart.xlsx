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\Downloads\"/>
    </mc:Choice>
  </mc:AlternateContent>
  <xr:revisionPtr revIDLastSave="0" documentId="13_ncr:1_{DDF41413-DED0-4D7B-8143-5FCDF8007A3E}" xr6:coauthVersionLast="47" xr6:coauthVersionMax="47" xr10:uidLastSave="{00000000-0000-0000-0000-000000000000}"/>
  <bookViews>
    <workbookView xWindow="-108" yWindow="-108" windowWidth="23256" windowHeight="12456" activeTab="1" xr2:uid="{7EEC63A9-1100-4966-8C7F-B5F59F98F851}"/>
  </bookViews>
  <sheets>
    <sheet name="bisnis Plan" sheetId="1" r:id="rId1"/>
    <sheet name="Product" sheetId="3" r:id="rId2"/>
    <sheet name="Timelin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G26" i="3"/>
  <c r="I26" i="3" s="1"/>
  <c r="G23" i="3"/>
  <c r="I23" i="3" s="1"/>
  <c r="G22" i="3"/>
  <c r="I22" i="3" s="1"/>
  <c r="D26" i="3"/>
  <c r="D23" i="3"/>
  <c r="D22" i="3"/>
  <c r="I17" i="3"/>
  <c r="I16" i="3"/>
  <c r="I15" i="3"/>
  <c r="I14" i="3"/>
  <c r="G19" i="3"/>
  <c r="I19" i="3" s="1"/>
  <c r="G18" i="3"/>
  <c r="I18" i="3" s="1"/>
  <c r="G17" i="3"/>
  <c r="G16" i="3"/>
  <c r="G15" i="3"/>
  <c r="G14" i="3"/>
  <c r="D19" i="3"/>
  <c r="D18" i="3"/>
  <c r="D17" i="3"/>
  <c r="D16" i="3"/>
  <c r="D15" i="3"/>
  <c r="D14" i="3"/>
  <c r="I9" i="3"/>
  <c r="I8" i="3"/>
  <c r="I7" i="3"/>
  <c r="I6" i="3"/>
  <c r="I5" i="3"/>
  <c r="I4" i="3"/>
  <c r="I3" i="3"/>
  <c r="D9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<sst xmlns="http://schemas.openxmlformats.org/spreadsheetml/2006/main" count="92" uniqueCount="61">
  <si>
    <t>Target Segment</t>
  </si>
  <si>
    <t>Premium</t>
  </si>
  <si>
    <t>Pecinta coffee</t>
  </si>
  <si>
    <t>focus ke quality</t>
  </si>
  <si>
    <t>Product</t>
  </si>
  <si>
    <t>Tier 1</t>
  </si>
  <si>
    <t>Tier 2</t>
  </si>
  <si>
    <t>volume</t>
  </si>
  <si>
    <t>utama/highlight</t>
  </si>
  <si>
    <t>Channel Penjualan</t>
  </si>
  <si>
    <t>Instagram</t>
  </si>
  <si>
    <t>Tiktok</t>
  </si>
  <si>
    <t>grab customers</t>
  </si>
  <si>
    <t>Website</t>
  </si>
  <si>
    <t>Pricing</t>
  </si>
  <si>
    <t>100gr</t>
  </si>
  <si>
    <t>500gr</t>
  </si>
  <si>
    <t>200gr/250gr</t>
  </si>
  <si>
    <t>1kg</t>
  </si>
  <si>
    <t>Packaging</t>
  </si>
  <si>
    <t>Warna</t>
  </si>
  <si>
    <t>Komunitas</t>
  </si>
  <si>
    <t>Event kecil</t>
  </si>
  <si>
    <t>Tempat packaging</t>
  </si>
  <si>
    <t>Marketing Campaign</t>
  </si>
  <si>
    <t>&gt;70rb</t>
  </si>
  <si>
    <t>Paid Ads</t>
  </si>
  <si>
    <t>Meta Ads</t>
  </si>
  <si>
    <t>Promo Discount</t>
  </si>
  <si>
    <t>Beli 2 disc 10%</t>
  </si>
  <si>
    <t>Limited promo</t>
  </si>
  <si>
    <t>Oelbiteno</t>
  </si>
  <si>
    <t>Modal</t>
  </si>
  <si>
    <t>Jual</t>
  </si>
  <si>
    <t>Sabin</t>
  </si>
  <si>
    <t>Abmisibil</t>
  </si>
  <si>
    <t>Pyramid</t>
  </si>
  <si>
    <t>Palimping</t>
  </si>
  <si>
    <t>Kerinci</t>
  </si>
  <si>
    <t>Pondok Baru</t>
  </si>
  <si>
    <t>200 gram</t>
  </si>
  <si>
    <t>100 gram</t>
  </si>
  <si>
    <t>70% Arabica - 30% Robusta</t>
  </si>
  <si>
    <t>60% Arabica - 40% Robusta</t>
  </si>
  <si>
    <t>50% Arabica - 50% Robusta</t>
  </si>
  <si>
    <t>40% Arabica - 60% Robusta</t>
  </si>
  <si>
    <t>30% Arabica - 70% Robusta</t>
  </si>
  <si>
    <t>20% Arabica - 80% Robusta</t>
  </si>
  <si>
    <t>Signature</t>
  </si>
  <si>
    <t xml:space="preserve">Reguler </t>
  </si>
  <si>
    <t>Houseblend Robusta</t>
  </si>
  <si>
    <t>Full Robusta</t>
  </si>
  <si>
    <t>Margin</t>
  </si>
  <si>
    <t>Single Origin - Main Packs</t>
  </si>
  <si>
    <t>Single Origin - Mini Packs</t>
  </si>
  <si>
    <t>HouseBlend Bold - Main Packs (1kg)</t>
  </si>
  <si>
    <t>HouseBlend Bold - Mini Packs (500gr)</t>
  </si>
  <si>
    <t>HouseBlend Bright/Arabica - Main Packs (1kg)</t>
  </si>
  <si>
    <t>HouseBlend Bright/Arabica - Mini Packs (500gr)</t>
  </si>
  <si>
    <t>product dengan quality dibawah Fuad dikit</t>
  </si>
  <si>
    <t>Sindoro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</si>
</sst>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165" fontId="0" fillId="0" borderId="0" xfId="1" applyNumberFormat="1" applyFont="1"/>
    <xf numFmtId="165" fontId="0" fillId="0" borderId="0" xfId="0" applyNumberFormat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8686-B167-4F2F-AE5E-B1CF4DFC6E49}">
  <dimension ref="A1:C26"/>
  <sheetViews>
    <sheetView zoomScale="130" zoomScaleNormal="130" workbookViewId="0">
      <selection activeCell="C15" sqref="C15"/>
    </sheetView>
  </sheetViews>
  <sheetFormatPr defaultRowHeight="14.4" x14ac:dyDescent="0.3"/>
  <cols>
    <col min="1" max="1" width="18.5546875" bestFit="1" customWidth="1"/>
    <col min="2" max="2" width="16.21875" bestFit="1" customWidth="1"/>
    <col min="3" max="3" width="14.5546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B2" t="s">
        <v>2</v>
      </c>
    </row>
    <row r="3" spans="1:3" x14ac:dyDescent="0.3">
      <c r="B3" t="s">
        <v>3</v>
      </c>
    </row>
    <row r="5" spans="1:3" x14ac:dyDescent="0.3">
      <c r="A5" t="s">
        <v>4</v>
      </c>
      <c r="B5" t="s">
        <v>5</v>
      </c>
      <c r="C5" t="s">
        <v>8</v>
      </c>
    </row>
    <row r="6" spans="1:3" x14ac:dyDescent="0.3">
      <c r="B6" t="s">
        <v>6</v>
      </c>
      <c r="C6" t="s">
        <v>7</v>
      </c>
    </row>
    <row r="8" spans="1:3" x14ac:dyDescent="0.3">
      <c r="A8" t="s">
        <v>14</v>
      </c>
      <c r="B8" t="s">
        <v>15</v>
      </c>
      <c r="C8" t="s">
        <v>25</v>
      </c>
    </row>
    <row r="9" spans="1:3" x14ac:dyDescent="0.3">
      <c r="B9" t="s">
        <v>17</v>
      </c>
    </row>
    <row r="10" spans="1:3" x14ac:dyDescent="0.3">
      <c r="B10" t="s">
        <v>16</v>
      </c>
    </row>
    <row r="11" spans="1:3" x14ac:dyDescent="0.3">
      <c r="B11" t="s">
        <v>18</v>
      </c>
    </row>
    <row r="13" spans="1:3" x14ac:dyDescent="0.3">
      <c r="A13" t="s">
        <v>19</v>
      </c>
      <c r="B13" t="s">
        <v>20</v>
      </c>
    </row>
    <row r="14" spans="1:3" x14ac:dyDescent="0.3">
      <c r="B14" t="s">
        <v>23</v>
      </c>
    </row>
    <row r="17" spans="1:3" x14ac:dyDescent="0.3">
      <c r="A17" t="s">
        <v>9</v>
      </c>
      <c r="B17" t="s">
        <v>10</v>
      </c>
    </row>
    <row r="18" spans="1:3" x14ac:dyDescent="0.3">
      <c r="B18" t="s">
        <v>11</v>
      </c>
      <c r="C18" t="s">
        <v>12</v>
      </c>
    </row>
    <row r="19" spans="1:3" x14ac:dyDescent="0.3">
      <c r="B19" t="s">
        <v>13</v>
      </c>
    </row>
    <row r="20" spans="1:3" x14ac:dyDescent="0.3">
      <c r="B20" t="s">
        <v>21</v>
      </c>
    </row>
    <row r="21" spans="1:3" x14ac:dyDescent="0.3">
      <c r="B21" t="s">
        <v>22</v>
      </c>
    </row>
    <row r="23" spans="1:3" x14ac:dyDescent="0.3">
      <c r="A23" t="s">
        <v>24</v>
      </c>
      <c r="B23" t="s">
        <v>26</v>
      </c>
    </row>
    <row r="24" spans="1:3" x14ac:dyDescent="0.3">
      <c r="B24" t="s">
        <v>27</v>
      </c>
    </row>
    <row r="25" spans="1:3" x14ac:dyDescent="0.3">
      <c r="B25" t="s">
        <v>28</v>
      </c>
      <c r="C25" t="s">
        <v>29</v>
      </c>
    </row>
    <row r="26" spans="1:3" x14ac:dyDescent="0.3">
      <c r="C2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3DA4-A0DF-4040-B7B3-4FF62D42A514}">
  <dimension ref="A1:K26"/>
  <sheetViews>
    <sheetView tabSelected="1" zoomScale="95" zoomScaleNormal="130" workbookViewId="0">
      <selection activeCell="A11" sqref="A11"/>
    </sheetView>
  </sheetViews>
  <sheetFormatPr defaultRowHeight="14.4" x14ac:dyDescent="0.3"/>
  <cols>
    <col min="1" max="1" width="40.33203125" bestFit="1" customWidth="1"/>
    <col min="2" max="4" width="11.5546875" bestFit="1" customWidth="1"/>
    <col min="6" max="6" width="41.44140625" bestFit="1" customWidth="1"/>
    <col min="7" max="8" width="10.33203125" bestFit="1" customWidth="1"/>
    <col min="11" max="11" width="36.5546875" bestFit="1" customWidth="1"/>
  </cols>
  <sheetData>
    <row r="1" spans="1:11" x14ac:dyDescent="0.3">
      <c r="A1" s="2" t="s">
        <v>5</v>
      </c>
      <c r="B1" s="1" t="s">
        <v>40</v>
      </c>
      <c r="G1" s="1" t="s">
        <v>41</v>
      </c>
      <c r="K1" s="2" t="s">
        <v>6</v>
      </c>
    </row>
    <row r="2" spans="1:11" x14ac:dyDescent="0.3">
      <c r="A2" s="5" t="s">
        <v>53</v>
      </c>
      <c r="B2" t="s">
        <v>32</v>
      </c>
      <c r="C2" t="s">
        <v>33</v>
      </c>
      <c r="D2" t="s">
        <v>52</v>
      </c>
      <c r="F2" s="5" t="s">
        <v>54</v>
      </c>
      <c r="G2" t="s">
        <v>32</v>
      </c>
      <c r="H2" t="s">
        <v>33</v>
      </c>
      <c r="I2" t="s">
        <v>52</v>
      </c>
      <c r="K2" t="s">
        <v>59</v>
      </c>
    </row>
    <row r="3" spans="1:11" x14ac:dyDescent="0.3">
      <c r="A3" t="s">
        <v>31</v>
      </c>
      <c r="B3" s="3">
        <v>100000</v>
      </c>
      <c r="C3" s="3">
        <v>140000</v>
      </c>
      <c r="D3" s="4">
        <f>C3-B3</f>
        <v>40000</v>
      </c>
      <c r="F3" t="s">
        <v>31</v>
      </c>
      <c r="G3" s="3">
        <v>50000</v>
      </c>
      <c r="H3" s="3">
        <v>85000</v>
      </c>
      <c r="I3" s="4">
        <f>H3-G3</f>
        <v>35000</v>
      </c>
    </row>
    <row r="4" spans="1:11" x14ac:dyDescent="0.3">
      <c r="A4" t="s">
        <v>34</v>
      </c>
      <c r="B4" s="3">
        <v>100000</v>
      </c>
      <c r="C4" s="3">
        <v>140000</v>
      </c>
      <c r="D4" s="4">
        <f>C4-B4</f>
        <v>40000</v>
      </c>
      <c r="F4" t="s">
        <v>34</v>
      </c>
      <c r="G4" s="3">
        <v>50000</v>
      </c>
      <c r="H4" s="3">
        <v>85000</v>
      </c>
      <c r="I4" s="4">
        <f>H4-G4</f>
        <v>35000</v>
      </c>
    </row>
    <row r="5" spans="1:11" x14ac:dyDescent="0.3">
      <c r="A5" t="s">
        <v>35</v>
      </c>
      <c r="B5" s="3">
        <v>100000</v>
      </c>
      <c r="C5" s="3">
        <v>140000</v>
      </c>
      <c r="D5" s="4">
        <f>C5-B5</f>
        <v>40000</v>
      </c>
      <c r="F5" t="s">
        <v>35</v>
      </c>
      <c r="G5" s="3">
        <v>50000</v>
      </c>
      <c r="H5" s="3">
        <v>85000</v>
      </c>
      <c r="I5" s="4">
        <f>H5-G5</f>
        <v>35000</v>
      </c>
    </row>
    <row r="6" spans="1:11" x14ac:dyDescent="0.3">
      <c r="A6" t="s">
        <v>36</v>
      </c>
      <c r="B6" s="3">
        <v>100000</v>
      </c>
      <c r="C6" s="3">
        <v>140000</v>
      </c>
      <c r="D6" s="4">
        <f>C6-B6</f>
        <v>40000</v>
      </c>
      <c r="F6" t="s">
        <v>36</v>
      </c>
      <c r="G6" s="3">
        <v>50000</v>
      </c>
      <c r="H6" s="3">
        <v>85000</v>
      </c>
      <c r="I6" s="4">
        <f>H6-G6</f>
        <v>35000</v>
      </c>
    </row>
    <row r="7" spans="1:11" x14ac:dyDescent="0.3">
      <c r="A7" t="s">
        <v>37</v>
      </c>
      <c r="B7" s="3">
        <v>90000</v>
      </c>
      <c r="C7" s="3">
        <v>125000</v>
      </c>
      <c r="D7" s="4">
        <f>C7-B7</f>
        <v>35000</v>
      </c>
      <c r="F7" t="s">
        <v>37</v>
      </c>
      <c r="G7" s="3">
        <v>45000</v>
      </c>
      <c r="H7" s="3">
        <v>70000</v>
      </c>
      <c r="I7" s="4">
        <f>H7-G7</f>
        <v>25000</v>
      </c>
    </row>
    <row r="8" spans="1:11" x14ac:dyDescent="0.3">
      <c r="A8" t="s">
        <v>38</v>
      </c>
      <c r="B8" s="3">
        <v>90000</v>
      </c>
      <c r="C8" s="3">
        <v>125000</v>
      </c>
      <c r="D8" s="4">
        <f>C8-B8</f>
        <v>35000</v>
      </c>
      <c r="F8" t="s">
        <v>38</v>
      </c>
      <c r="G8" s="3">
        <v>45000</v>
      </c>
      <c r="H8" s="3">
        <v>70000</v>
      </c>
      <c r="I8" s="4">
        <f>H8-G8</f>
        <v>25000</v>
      </c>
    </row>
    <row r="9" spans="1:11" x14ac:dyDescent="0.3">
      <c r="A9" t="s">
        <v>39</v>
      </c>
      <c r="B9" s="3">
        <v>90000</v>
      </c>
      <c r="C9" s="3">
        <v>125000</v>
      </c>
      <c r="D9" s="4">
        <f>C9-B9</f>
        <v>35000</v>
      </c>
      <c r="F9" t="s">
        <v>39</v>
      </c>
      <c r="G9" s="3">
        <v>45000</v>
      </c>
      <c r="H9" s="3">
        <v>70000</v>
      </c>
      <c r="I9" s="4">
        <f>H9-G9</f>
        <v>25000</v>
      </c>
    </row>
    <row r="10" spans="1:11" x14ac:dyDescent="0.3">
      <c r="A10" t="s">
        <v>60</v>
      </c>
      <c r="B10" s="3">
        <v>90000</v>
      </c>
      <c r="C10" s="3">
        <v>125000</v>
      </c>
      <c r="D10" s="4">
        <f>C10-B10</f>
        <v>35000</v>
      </c>
    </row>
    <row r="13" spans="1:11" x14ac:dyDescent="0.3">
      <c r="A13" s="5" t="s">
        <v>55</v>
      </c>
      <c r="B13" t="s">
        <v>32</v>
      </c>
      <c r="C13" t="s">
        <v>33</v>
      </c>
      <c r="D13" t="s">
        <v>52</v>
      </c>
      <c r="F13" s="5" t="s">
        <v>56</v>
      </c>
      <c r="G13" t="s">
        <v>32</v>
      </c>
      <c r="H13" t="s">
        <v>33</v>
      </c>
      <c r="I13" t="s">
        <v>52</v>
      </c>
    </row>
    <row r="14" spans="1:11" x14ac:dyDescent="0.3">
      <c r="A14" t="s">
        <v>42</v>
      </c>
      <c r="B14" s="3">
        <v>185000</v>
      </c>
      <c r="C14" s="3">
        <v>215000</v>
      </c>
      <c r="D14" s="3">
        <f>C14-B14</f>
        <v>30000</v>
      </c>
      <c r="F14" t="s">
        <v>42</v>
      </c>
      <c r="G14" s="4">
        <f>B14/2</f>
        <v>92500</v>
      </c>
      <c r="H14">
        <v>120000</v>
      </c>
      <c r="I14" s="4">
        <f>H14-G14</f>
        <v>27500</v>
      </c>
    </row>
    <row r="15" spans="1:11" x14ac:dyDescent="0.3">
      <c r="A15" t="s">
        <v>43</v>
      </c>
      <c r="B15" s="3">
        <v>175000</v>
      </c>
      <c r="C15" s="3">
        <v>205000</v>
      </c>
      <c r="D15" s="3">
        <f>C15-B15</f>
        <v>30000</v>
      </c>
      <c r="F15" t="s">
        <v>43</v>
      </c>
      <c r="G15" s="4">
        <f>B15/2</f>
        <v>87500</v>
      </c>
      <c r="H15">
        <v>115000</v>
      </c>
      <c r="I15" s="4">
        <f>H15-G15</f>
        <v>27500</v>
      </c>
    </row>
    <row r="16" spans="1:11" x14ac:dyDescent="0.3">
      <c r="A16" t="s">
        <v>44</v>
      </c>
      <c r="B16" s="3">
        <v>170000</v>
      </c>
      <c r="C16" s="3">
        <v>200000</v>
      </c>
      <c r="D16" s="3">
        <f>C16-B16</f>
        <v>30000</v>
      </c>
      <c r="F16" t="s">
        <v>44</v>
      </c>
      <c r="G16" s="4">
        <f>B16/2</f>
        <v>85000</v>
      </c>
      <c r="H16">
        <v>110000</v>
      </c>
      <c r="I16" s="4">
        <f>H16-G16</f>
        <v>25000</v>
      </c>
    </row>
    <row r="17" spans="1:9" x14ac:dyDescent="0.3">
      <c r="A17" t="s">
        <v>45</v>
      </c>
      <c r="B17" s="3">
        <v>165000</v>
      </c>
      <c r="C17" s="3">
        <v>195000</v>
      </c>
      <c r="D17" s="3">
        <f>C17-B17</f>
        <v>30000</v>
      </c>
      <c r="F17" t="s">
        <v>45</v>
      </c>
      <c r="G17" s="4">
        <f>B17/2</f>
        <v>82500</v>
      </c>
      <c r="H17">
        <v>105000</v>
      </c>
      <c r="I17" s="4">
        <f>H17-G17</f>
        <v>22500</v>
      </c>
    </row>
    <row r="18" spans="1:9" x14ac:dyDescent="0.3">
      <c r="A18" t="s">
        <v>46</v>
      </c>
      <c r="B18" s="3">
        <v>160000</v>
      </c>
      <c r="C18" s="3">
        <v>190000</v>
      </c>
      <c r="D18" s="3">
        <f>C18-B18</f>
        <v>30000</v>
      </c>
      <c r="F18" t="s">
        <v>46</v>
      </c>
      <c r="G18" s="4">
        <f>B18/2</f>
        <v>80000</v>
      </c>
      <c r="H18">
        <v>100000</v>
      </c>
      <c r="I18" s="4">
        <f>H18-G18</f>
        <v>20000</v>
      </c>
    </row>
    <row r="19" spans="1:9" x14ac:dyDescent="0.3">
      <c r="A19" t="s">
        <v>47</v>
      </c>
      <c r="B19" s="3">
        <v>155000</v>
      </c>
      <c r="C19" s="3">
        <v>185000</v>
      </c>
      <c r="D19" s="3">
        <f>C19-B19</f>
        <v>30000</v>
      </c>
      <c r="F19" t="s">
        <v>47</v>
      </c>
      <c r="G19" s="4">
        <f>B19/2</f>
        <v>77500</v>
      </c>
      <c r="H19">
        <v>95000</v>
      </c>
      <c r="I19" s="4">
        <f>H19-G19</f>
        <v>17500</v>
      </c>
    </row>
    <row r="21" spans="1:9" x14ac:dyDescent="0.3">
      <c r="A21" s="1" t="s">
        <v>57</v>
      </c>
      <c r="F21" s="1" t="s">
        <v>58</v>
      </c>
      <c r="G21" t="s">
        <v>32</v>
      </c>
      <c r="H21" t="s">
        <v>33</v>
      </c>
      <c r="I21" t="s">
        <v>52</v>
      </c>
    </row>
    <row r="22" spans="1:9" x14ac:dyDescent="0.3">
      <c r="A22" t="s">
        <v>48</v>
      </c>
      <c r="B22" s="3">
        <v>240000</v>
      </c>
      <c r="C22" s="3">
        <v>280000</v>
      </c>
      <c r="D22" s="4">
        <f>C22-B22</f>
        <v>40000</v>
      </c>
      <c r="F22" t="s">
        <v>48</v>
      </c>
      <c r="G22" s="4">
        <f>B22/2</f>
        <v>120000</v>
      </c>
      <c r="H22" s="4">
        <v>150000</v>
      </c>
      <c r="I22" s="4">
        <f>H22-G22</f>
        <v>30000</v>
      </c>
    </row>
    <row r="23" spans="1:9" x14ac:dyDescent="0.3">
      <c r="A23" t="s">
        <v>49</v>
      </c>
      <c r="B23" s="3">
        <v>205000</v>
      </c>
      <c r="C23" s="3">
        <v>240000</v>
      </c>
      <c r="D23" s="4">
        <f>C23-B23</f>
        <v>35000</v>
      </c>
      <c r="F23" t="s">
        <v>49</v>
      </c>
      <c r="G23" s="4">
        <f>B23/2</f>
        <v>102500</v>
      </c>
      <c r="H23" s="4">
        <v>130000</v>
      </c>
      <c r="I23" s="4">
        <f>H23-G23</f>
        <v>27500</v>
      </c>
    </row>
    <row r="25" spans="1:9" x14ac:dyDescent="0.3">
      <c r="A25" t="s">
        <v>50</v>
      </c>
      <c r="F25" t="s">
        <v>50</v>
      </c>
    </row>
    <row r="26" spans="1:9" x14ac:dyDescent="0.3">
      <c r="A26" t="s">
        <v>51</v>
      </c>
      <c r="B26" s="3">
        <v>150000</v>
      </c>
      <c r="C26" s="3">
        <v>180000</v>
      </c>
      <c r="D26" s="4">
        <f>C26-B26</f>
        <v>30000</v>
      </c>
      <c r="F26" t="s">
        <v>51</v>
      </c>
      <c r="G26" s="4">
        <f>B26/2</f>
        <v>75000</v>
      </c>
      <c r="H26" s="4">
        <v>100000</v>
      </c>
      <c r="I26" s="4">
        <f>H26-G26</f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2DAF-4B2E-491D-86B4-716E51322B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bisnis Plan</vt:lpstr>
      <vt:lpstr>Product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Sukrysman .</dc:creator>
  <cp:lastModifiedBy>Sukrysman .</cp:lastModifiedBy>
  <dcterms:created xsi:type="dcterms:W3CDTF">2026-09-08T09:51:13Z</dcterms:created>
  <dcterms:modified xsi:type="dcterms:W3CDTF">2026-09-08T11:42:13Z</dcterms:modified>
</cp:coreProperties>
</file>